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eve-my.sharepoint.com/personal/20231925_etud_univ-evry_fr/Documents/monmaster/"/>
    </mc:Choice>
  </mc:AlternateContent>
  <xr:revisionPtr revIDLastSave="0" documentId="8_{F80F9FF5-A11A-4D00-82A1-D3604C985804}" xr6:coauthVersionLast="47" xr6:coauthVersionMax="47" xr10:uidLastSave="{00000000-0000-0000-0000-000000000000}"/>
  <bookViews>
    <workbookView xWindow="33390" yWindow="3045" windowWidth="14400" windowHeight="7275" activeTab="2" xr2:uid="{FA60A4B9-A4E1-4F6A-B32E-8AFD30504209}"/>
  </bookViews>
  <sheets>
    <sheet name="Cocomo" sheetId="1" r:id="rId1"/>
    <sheet name="3 points" sheetId="2" r:id="rId2"/>
    <sheet name="Heur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" i="2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3" i="2"/>
  <c r="K4" i="1"/>
  <c r="I4" i="1"/>
  <c r="K3" i="1"/>
  <c r="I3" i="1"/>
  <c r="K2" i="1"/>
  <c r="I2" i="1"/>
  <c r="I6" i="1" s="1"/>
  <c r="M3" i="1" l="1"/>
  <c r="O3" i="1" s="1"/>
  <c r="M2" i="1"/>
  <c r="O2" i="1" s="1"/>
  <c r="M4" i="1"/>
  <c r="O4" i="1" s="1"/>
</calcChain>
</file>

<file path=xl/sharedStrings.xml><?xml version="1.0" encoding="utf-8"?>
<sst xmlns="http://schemas.openxmlformats.org/spreadsheetml/2006/main" count="130" uniqueCount="79">
  <si>
    <t>Type</t>
  </si>
  <si>
    <t>Simple</t>
  </si>
  <si>
    <t>Moyen</t>
  </si>
  <si>
    <t>Complexe</t>
  </si>
  <si>
    <t>a</t>
  </si>
  <si>
    <t>b</t>
  </si>
  <si>
    <t>c</t>
  </si>
  <si>
    <t>d</t>
  </si>
  <si>
    <t>Kloc</t>
  </si>
  <si>
    <t>=&gt;</t>
  </si>
  <si>
    <t>Charge</t>
  </si>
  <si>
    <t>Durée</t>
  </si>
  <si>
    <t>Taille équipe</t>
  </si>
  <si>
    <t>kloc</t>
  </si>
  <si>
    <t>m*p</t>
  </si>
  <si>
    <t>personnes</t>
  </si>
  <si>
    <t>p*h</t>
  </si>
  <si>
    <t>mois</t>
  </si>
  <si>
    <t>mois*personne</t>
  </si>
  <si>
    <t>Analyse des besoins</t>
  </si>
  <si>
    <t>Cahier des charges</t>
  </si>
  <si>
    <t>Validation du périmètre</t>
  </si>
  <si>
    <t>UML</t>
  </si>
  <si>
    <t>Base de données</t>
  </si>
  <si>
    <t>Architecture applicative</t>
  </si>
  <si>
    <t>Maquettes UI/UX</t>
  </si>
  <si>
    <t>Mise en place du projet</t>
  </si>
  <si>
    <t>Backend</t>
  </si>
  <si>
    <t>Frontend</t>
  </si>
  <si>
    <t>Intégration</t>
  </si>
  <si>
    <t>Plan de test</t>
  </si>
  <si>
    <t>Tests unitaires</t>
  </si>
  <si>
    <t>Tests d’intégration</t>
  </si>
  <si>
    <t>Recette utilisateur</t>
  </si>
  <si>
    <t>Déploiement</t>
  </si>
  <si>
    <t>Documentation utilisateur</t>
  </si>
  <si>
    <t>Clôture du projet</t>
  </si>
  <si>
    <t>Tâches</t>
  </si>
  <si>
    <t>dO</t>
  </si>
  <si>
    <t>dPP</t>
  </si>
  <si>
    <t>dP</t>
  </si>
  <si>
    <t>moy PERT</t>
  </si>
  <si>
    <t>Variance</t>
  </si>
  <si>
    <t>Info</t>
  </si>
  <si>
    <t>6h par jour</t>
  </si>
  <si>
    <t>5j par semaine</t>
  </si>
  <si>
    <t>30h par personne par semaine</t>
  </si>
  <si>
    <t>équipe</t>
  </si>
  <si>
    <t>cheffe de projet</t>
  </si>
  <si>
    <t>développeuse Backend</t>
  </si>
  <si>
    <t>développeuse Frontend</t>
  </si>
  <si>
    <t>testeur</t>
  </si>
  <si>
    <t xml:space="preserve">durée </t>
  </si>
  <si>
    <t>6 semaines</t>
  </si>
  <si>
    <t>taux de congés</t>
  </si>
  <si>
    <t>Ressource</t>
  </si>
  <si>
    <t>S1</t>
  </si>
  <si>
    <t>S2</t>
  </si>
  <si>
    <t>S3</t>
  </si>
  <si>
    <t>S4</t>
  </si>
  <si>
    <t>S5</t>
  </si>
  <si>
    <t>S6</t>
  </si>
  <si>
    <t>Chef de projet</t>
  </si>
  <si>
    <t>0.5</t>
  </si>
  <si>
    <t>Dev Backend</t>
  </si>
  <si>
    <t>1.0</t>
  </si>
  <si>
    <t>Dev Frontend</t>
  </si>
  <si>
    <t>Testeur / QA</t>
  </si>
  <si>
    <t>Disponibilité par personne</t>
  </si>
  <si>
    <t>ETP</t>
  </si>
  <si>
    <t>Semaine</t>
  </si>
  <si>
    <t>Total ETP</t>
  </si>
  <si>
    <t>3.0</t>
  </si>
  <si>
    <t>Heures</t>
  </si>
  <si>
    <t>H avec congés</t>
  </si>
  <si>
    <t>85.5</t>
  </si>
  <si>
    <t>Cumul des heures</t>
  </si>
  <si>
    <t>256.5</t>
  </si>
  <si>
    <t>427.5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</si>
</sst>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BE5D6"/>
        <bgColor rgb="FFFCE4D6"/>
      </patternFill>
    </fill>
    <fill>
      <patternFill patternType="solid">
        <fgColor rgb="FFDEEBF7"/>
        <bgColor rgb="FFE2F0D9"/>
      </patternFill>
    </fill>
    <fill>
      <patternFill patternType="solid">
        <fgColor rgb="FFFFE699"/>
        <bgColor rgb="FFFFF2CC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0" fillId="4" borderId="0" xfId="0" applyFill="1"/>
    <xf numFmtId="0" fontId="0" fillId="0" borderId="1" xfId="0" applyBorder="1"/>
    <xf numFmtId="1" fontId="2" fillId="0" borderId="0" xfId="0" applyNumberFormat="1" applyFont="1"/>
    <xf numFmtId="0" fontId="2" fillId="0" borderId="0" xfId="0" applyFont="1"/>
    <xf numFmtId="0" fontId="0" fillId="0" borderId="0" xfId="0" applyAlignment="1">
      <alignment vertical="center" wrapText="1"/>
    </xf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2" fontId="0" fillId="0" borderId="0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" fillId="0" borderId="8" xfId="0" applyFont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0" fillId="0" borderId="2" xfId="0" applyBorder="1"/>
    <xf numFmtId="9" fontId="0" fillId="0" borderId="2" xfId="0" applyNumberFormat="1" applyBorder="1" applyAlignment="1">
      <alignment horizontal="left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44A47-E8EB-479C-B677-972B2886E214}">
  <dimension ref="A1:P6"/>
  <sheetViews>
    <sheetView workbookViewId="0">
      <selection activeCell="E16" sqref="E16"/>
    </sheetView>
  </sheetViews>
  <sheetFormatPr baseColWidth="10" defaultRowHeight="14.5" x14ac:dyDescent="0.35"/>
  <cols>
    <col min="10" max="10" width="13.6328125" customWidth="1"/>
    <col min="12" max="12" width="10.90625" customWidth="1"/>
  </cols>
  <sheetData>
    <row r="1" spans="1:16" ht="15" thickBot="1" x14ac:dyDescent="0.4">
      <c r="A1" t="s">
        <v>0</v>
      </c>
      <c r="B1" t="s">
        <v>4</v>
      </c>
      <c r="C1" t="s">
        <v>5</v>
      </c>
      <c r="D1" t="s">
        <v>6</v>
      </c>
      <c r="E1" t="s">
        <v>7</v>
      </c>
      <c r="G1" s="1" t="s">
        <v>8</v>
      </c>
      <c r="H1" s="1" t="s">
        <v>9</v>
      </c>
      <c r="I1" s="1" t="s">
        <v>10</v>
      </c>
      <c r="K1" s="2" t="s">
        <v>10</v>
      </c>
      <c r="L1" s="2" t="s">
        <v>9</v>
      </c>
      <c r="M1" s="2" t="s">
        <v>11</v>
      </c>
      <c r="O1" s="3" t="s">
        <v>12</v>
      </c>
    </row>
    <row r="2" spans="1:16" ht="15" thickBot="1" x14ac:dyDescent="0.4">
      <c r="A2" t="s">
        <v>1</v>
      </c>
      <c r="B2">
        <v>2.4</v>
      </c>
      <c r="C2">
        <v>1.05</v>
      </c>
      <c r="D2">
        <v>2.5</v>
      </c>
      <c r="E2">
        <v>0.38</v>
      </c>
      <c r="G2" s="4">
        <v>50</v>
      </c>
      <c r="H2" t="s">
        <v>13</v>
      </c>
      <c r="I2" s="5">
        <f xml:space="preserve"> B2*(G2)^C2</f>
        <v>145.92501487903886</v>
      </c>
      <c r="J2" t="s">
        <v>18</v>
      </c>
      <c r="K2" s="5">
        <f xml:space="preserve"> B2*(G2)^C2</f>
        <v>145.92501487903886</v>
      </c>
      <c r="L2" t="s">
        <v>14</v>
      </c>
      <c r="M2" s="6">
        <f>D2*(K2)^E2</f>
        <v>16.607693157595008</v>
      </c>
      <c r="N2" t="s">
        <v>17</v>
      </c>
      <c r="O2" s="5">
        <f>K2/M2</f>
        <v>8.7865914606150231</v>
      </c>
      <c r="P2" t="s">
        <v>15</v>
      </c>
    </row>
    <row r="3" spans="1:16" ht="15" thickBot="1" x14ac:dyDescent="0.4">
      <c r="A3" t="s">
        <v>2</v>
      </c>
      <c r="B3">
        <v>3</v>
      </c>
      <c r="C3">
        <v>1.1200000000000001</v>
      </c>
      <c r="D3">
        <v>2.5</v>
      </c>
      <c r="E3">
        <v>0.35</v>
      </c>
      <c r="G3" s="4">
        <v>50</v>
      </c>
      <c r="H3" t="s">
        <v>13</v>
      </c>
      <c r="I3" s="5">
        <f xml:space="preserve"> B3*(G3)^C3</f>
        <v>239.86542927912734</v>
      </c>
      <c r="J3" t="s">
        <v>18</v>
      </c>
      <c r="K3" s="5">
        <f t="shared" ref="K3:K4" si="0" xml:space="preserve"> B3*(G3)^C3</f>
        <v>239.86542927912734</v>
      </c>
      <c r="L3" t="s">
        <v>14</v>
      </c>
      <c r="M3" s="6">
        <f t="shared" ref="M3:M4" si="1">D3*(K3)^E3</f>
        <v>17.018790395683062</v>
      </c>
      <c r="N3" t="s">
        <v>17</v>
      </c>
      <c r="O3" s="5">
        <f t="shared" ref="O3:O4" si="2">K3/M3</f>
        <v>14.094152622031876</v>
      </c>
      <c r="P3" t="s">
        <v>15</v>
      </c>
    </row>
    <row r="4" spans="1:16" ht="15" thickBot="1" x14ac:dyDescent="0.4">
      <c r="A4" t="s">
        <v>3</v>
      </c>
      <c r="B4">
        <v>3.6</v>
      </c>
      <c r="C4">
        <v>1.2</v>
      </c>
      <c r="D4">
        <v>2.5</v>
      </c>
      <c r="E4">
        <v>0.32</v>
      </c>
      <c r="G4" s="4">
        <v>50</v>
      </c>
      <c r="H4" t="s">
        <v>13</v>
      </c>
      <c r="I4" s="5">
        <f xml:space="preserve"> B4*(G4)^C4</f>
        <v>393.61034661958013</v>
      </c>
      <c r="J4" t="s">
        <v>18</v>
      </c>
      <c r="K4" s="5">
        <f t="shared" si="0"/>
        <v>393.61034661958013</v>
      </c>
      <c r="L4" t="s">
        <v>14</v>
      </c>
      <c r="M4" s="6">
        <f t="shared" si="1"/>
        <v>16.918477984655127</v>
      </c>
      <c r="N4" t="s">
        <v>17</v>
      </c>
      <c r="O4" s="5">
        <f t="shared" si="2"/>
        <v>23.265115631357641</v>
      </c>
      <c r="P4" t="s">
        <v>15</v>
      </c>
    </row>
    <row r="5" spans="1:16" x14ac:dyDescent="0.35">
      <c r="O5" s="5"/>
    </row>
    <row r="6" spans="1:16" x14ac:dyDescent="0.35">
      <c r="I6">
        <f>I2*6.7*20</f>
        <v>19553.951993791205</v>
      </c>
      <c r="J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9FC36-830C-46BA-9F6B-344A1075791D}">
  <dimension ref="A1:F19"/>
  <sheetViews>
    <sheetView workbookViewId="0">
      <selection activeCell="H6" sqref="H6"/>
    </sheetView>
  </sheetViews>
  <sheetFormatPr baseColWidth="10" defaultRowHeight="14.5" x14ac:dyDescent="0.35"/>
  <cols>
    <col min="1" max="1" width="23.81640625" customWidth="1"/>
    <col min="5" max="5" width="12.26953125" bestFit="1" customWidth="1"/>
  </cols>
  <sheetData>
    <row r="1" spans="1:6" x14ac:dyDescent="0.35">
      <c r="A1" s="8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10" t="s">
        <v>42</v>
      </c>
    </row>
    <row r="2" spans="1:6" ht="15.5" customHeight="1" x14ac:dyDescent="0.35">
      <c r="A2" s="11" t="s">
        <v>19</v>
      </c>
      <c r="B2" s="12">
        <v>2</v>
      </c>
      <c r="C2" s="12">
        <v>3</v>
      </c>
      <c r="D2" s="12">
        <v>5</v>
      </c>
      <c r="E2" s="13">
        <f>ROUND((B2+4*C2+D2)/6, 2)</f>
        <v>3.17</v>
      </c>
      <c r="F2" s="14">
        <f>ROUND((D2-B2)^2/36,2)</f>
        <v>0.25</v>
      </c>
    </row>
    <row r="3" spans="1:6" x14ac:dyDescent="0.35">
      <c r="A3" s="11" t="s">
        <v>20</v>
      </c>
      <c r="B3" s="12">
        <v>1</v>
      </c>
      <c r="C3" s="12">
        <v>2</v>
      </c>
      <c r="D3" s="12">
        <v>3</v>
      </c>
      <c r="E3" s="13">
        <f>ROUND((B3+4*C3+D3)/6, 2)</f>
        <v>2</v>
      </c>
      <c r="F3" s="14">
        <f t="shared" ref="F3:F19" si="0">ROUND((D3-B3)^2/36,2)</f>
        <v>0.11</v>
      </c>
    </row>
    <row r="4" spans="1:6" x14ac:dyDescent="0.35">
      <c r="A4" s="11" t="s">
        <v>21</v>
      </c>
      <c r="B4" s="12">
        <v>1</v>
      </c>
      <c r="C4" s="12">
        <v>1</v>
      </c>
      <c r="D4" s="12">
        <v>2</v>
      </c>
      <c r="E4" s="13">
        <f t="shared" ref="E4:E19" si="1">ROUND((B4+4*C4+D4)/6, 2)</f>
        <v>1.17</v>
      </c>
      <c r="F4" s="14">
        <f t="shared" si="0"/>
        <v>0.03</v>
      </c>
    </row>
    <row r="5" spans="1:6" x14ac:dyDescent="0.35">
      <c r="A5" s="11" t="s">
        <v>22</v>
      </c>
      <c r="B5" s="12">
        <v>2</v>
      </c>
      <c r="C5" s="12">
        <v>3</v>
      </c>
      <c r="D5" s="12">
        <v>5</v>
      </c>
      <c r="E5" s="13">
        <f t="shared" si="1"/>
        <v>3.17</v>
      </c>
      <c r="F5" s="14">
        <f t="shared" si="0"/>
        <v>0.25</v>
      </c>
    </row>
    <row r="6" spans="1:6" x14ac:dyDescent="0.35">
      <c r="A6" s="11" t="s">
        <v>23</v>
      </c>
      <c r="B6" s="12">
        <v>2</v>
      </c>
      <c r="C6" s="12">
        <v>3</v>
      </c>
      <c r="D6" s="12">
        <v>5</v>
      </c>
      <c r="E6" s="13">
        <f t="shared" si="1"/>
        <v>3.17</v>
      </c>
      <c r="F6" s="14">
        <f t="shared" si="0"/>
        <v>0.25</v>
      </c>
    </row>
    <row r="7" spans="1:6" x14ac:dyDescent="0.35">
      <c r="A7" s="11" t="s">
        <v>24</v>
      </c>
      <c r="B7" s="12">
        <v>2</v>
      </c>
      <c r="C7" s="12">
        <v>3</v>
      </c>
      <c r="D7" s="12">
        <v>5</v>
      </c>
      <c r="E7" s="13">
        <f t="shared" si="1"/>
        <v>3.17</v>
      </c>
      <c r="F7" s="14">
        <f t="shared" si="0"/>
        <v>0.25</v>
      </c>
    </row>
    <row r="8" spans="1:6" x14ac:dyDescent="0.35">
      <c r="A8" s="11" t="s">
        <v>25</v>
      </c>
      <c r="B8" s="12">
        <v>1</v>
      </c>
      <c r="C8" s="12">
        <v>2</v>
      </c>
      <c r="D8" s="12">
        <v>3</v>
      </c>
      <c r="E8" s="13">
        <f t="shared" si="1"/>
        <v>2</v>
      </c>
      <c r="F8" s="14">
        <f t="shared" si="0"/>
        <v>0.11</v>
      </c>
    </row>
    <row r="9" spans="1:6" x14ac:dyDescent="0.35">
      <c r="A9" s="11" t="s">
        <v>26</v>
      </c>
      <c r="B9" s="12">
        <v>1</v>
      </c>
      <c r="C9" s="12">
        <v>1</v>
      </c>
      <c r="D9" s="12">
        <v>2</v>
      </c>
      <c r="E9" s="13">
        <f t="shared" si="1"/>
        <v>1.17</v>
      </c>
      <c r="F9" s="14">
        <f t="shared" si="0"/>
        <v>0.03</v>
      </c>
    </row>
    <row r="10" spans="1:6" x14ac:dyDescent="0.35">
      <c r="A10" s="11" t="s">
        <v>27</v>
      </c>
      <c r="B10" s="12">
        <v>5</v>
      </c>
      <c r="C10" s="12">
        <v>7</v>
      </c>
      <c r="D10" s="12">
        <v>11</v>
      </c>
      <c r="E10" s="13">
        <f t="shared" si="1"/>
        <v>7.33</v>
      </c>
      <c r="F10" s="14">
        <f t="shared" si="0"/>
        <v>1</v>
      </c>
    </row>
    <row r="11" spans="1:6" x14ac:dyDescent="0.35">
      <c r="A11" s="11" t="s">
        <v>28</v>
      </c>
      <c r="B11" s="12">
        <v>5</v>
      </c>
      <c r="C11" s="12">
        <v>7</v>
      </c>
      <c r="D11" s="12">
        <v>11</v>
      </c>
      <c r="E11" s="13">
        <f t="shared" si="1"/>
        <v>7.33</v>
      </c>
      <c r="F11" s="14">
        <f t="shared" si="0"/>
        <v>1</v>
      </c>
    </row>
    <row r="12" spans="1:6" x14ac:dyDescent="0.35">
      <c r="A12" s="11" t="s">
        <v>29</v>
      </c>
      <c r="B12" s="12">
        <v>2</v>
      </c>
      <c r="C12" s="12">
        <v>3</v>
      </c>
      <c r="D12" s="12">
        <v>5</v>
      </c>
      <c r="E12" s="13">
        <f t="shared" si="1"/>
        <v>3.17</v>
      </c>
      <c r="F12" s="14">
        <f t="shared" si="0"/>
        <v>0.25</v>
      </c>
    </row>
    <row r="13" spans="1:6" x14ac:dyDescent="0.35">
      <c r="A13" s="11" t="s">
        <v>30</v>
      </c>
      <c r="B13" s="12">
        <v>1</v>
      </c>
      <c r="C13" s="12">
        <v>1</v>
      </c>
      <c r="D13" s="12">
        <v>2</v>
      </c>
      <c r="E13" s="13">
        <f t="shared" si="1"/>
        <v>1.17</v>
      </c>
      <c r="F13" s="14">
        <f t="shared" si="0"/>
        <v>0.03</v>
      </c>
    </row>
    <row r="14" spans="1:6" x14ac:dyDescent="0.35">
      <c r="A14" s="11" t="s">
        <v>31</v>
      </c>
      <c r="B14" s="12">
        <v>2</v>
      </c>
      <c r="C14" s="12">
        <v>3</v>
      </c>
      <c r="D14" s="12">
        <v>5</v>
      </c>
      <c r="E14" s="13">
        <f t="shared" si="1"/>
        <v>3.17</v>
      </c>
      <c r="F14" s="14">
        <f t="shared" si="0"/>
        <v>0.25</v>
      </c>
    </row>
    <row r="15" spans="1:6" x14ac:dyDescent="0.35">
      <c r="A15" s="11" t="s">
        <v>32</v>
      </c>
      <c r="B15" s="12">
        <v>1</v>
      </c>
      <c r="C15" s="12">
        <v>2</v>
      </c>
      <c r="D15" s="12">
        <v>3</v>
      </c>
      <c r="E15" s="13">
        <f t="shared" si="1"/>
        <v>2</v>
      </c>
      <c r="F15" s="14">
        <f t="shared" si="0"/>
        <v>0.11</v>
      </c>
    </row>
    <row r="16" spans="1:6" x14ac:dyDescent="0.35">
      <c r="A16" s="11" t="s">
        <v>33</v>
      </c>
      <c r="B16" s="12">
        <v>1</v>
      </c>
      <c r="C16" s="12">
        <v>2</v>
      </c>
      <c r="D16" s="12">
        <v>3</v>
      </c>
      <c r="E16" s="13">
        <f t="shared" si="1"/>
        <v>2</v>
      </c>
      <c r="F16" s="14">
        <f t="shared" si="0"/>
        <v>0.11</v>
      </c>
    </row>
    <row r="17" spans="1:6" x14ac:dyDescent="0.35">
      <c r="A17" s="11" t="s">
        <v>34</v>
      </c>
      <c r="B17" s="12">
        <v>1</v>
      </c>
      <c r="C17" s="12">
        <v>1</v>
      </c>
      <c r="D17" s="12">
        <v>2</v>
      </c>
      <c r="E17" s="13">
        <f t="shared" si="1"/>
        <v>1.17</v>
      </c>
      <c r="F17" s="14">
        <f t="shared" si="0"/>
        <v>0.03</v>
      </c>
    </row>
    <row r="18" spans="1:6" x14ac:dyDescent="0.35">
      <c r="A18" s="11" t="s">
        <v>35</v>
      </c>
      <c r="B18" s="12">
        <v>1</v>
      </c>
      <c r="C18" s="12">
        <v>2</v>
      </c>
      <c r="D18" s="12">
        <v>3</v>
      </c>
      <c r="E18" s="13">
        <f t="shared" si="1"/>
        <v>2</v>
      </c>
      <c r="F18" s="14">
        <f t="shared" si="0"/>
        <v>0.11</v>
      </c>
    </row>
    <row r="19" spans="1:6" x14ac:dyDescent="0.35">
      <c r="A19" s="15" t="s">
        <v>36</v>
      </c>
      <c r="B19" s="16">
        <v>1</v>
      </c>
      <c r="C19" s="16">
        <v>1</v>
      </c>
      <c r="D19" s="16">
        <v>2</v>
      </c>
      <c r="E19" s="17">
        <f t="shared" si="1"/>
        <v>1.17</v>
      </c>
      <c r="F19" s="18">
        <f t="shared" si="0"/>
        <v>0.03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D9EF7-F06E-4EA0-B0FF-9C1E65FBE44E}">
  <dimension ref="A1:J15"/>
  <sheetViews>
    <sheetView tabSelected="1" workbookViewId="0">
      <selection activeCell="K25" sqref="K25"/>
    </sheetView>
  </sheetViews>
  <sheetFormatPr baseColWidth="10" defaultRowHeight="14.5" x14ac:dyDescent="0.35"/>
  <cols>
    <col min="1" max="1" width="14.08984375" customWidth="1"/>
    <col min="2" max="2" width="27.1796875" customWidth="1"/>
    <col min="4" max="4" width="22" customWidth="1"/>
    <col min="7" max="7" width="12.6328125" customWidth="1"/>
    <col min="8" max="8" width="17.36328125" customWidth="1"/>
  </cols>
  <sheetData>
    <row r="1" spans="1:10" x14ac:dyDescent="0.35">
      <c r="A1" s="24" t="s">
        <v>43</v>
      </c>
      <c r="B1" s="19"/>
      <c r="D1" t="s">
        <v>68</v>
      </c>
      <c r="E1" t="s">
        <v>69</v>
      </c>
    </row>
    <row r="2" spans="1:10" ht="14.5" customHeight="1" x14ac:dyDescent="0.35">
      <c r="A2" s="20"/>
      <c r="B2" s="21" t="s">
        <v>44</v>
      </c>
      <c r="D2" s="30" t="s">
        <v>55</v>
      </c>
      <c r="E2" s="30" t="s">
        <v>56</v>
      </c>
      <c r="F2" s="30" t="s">
        <v>57</v>
      </c>
      <c r="G2" s="30" t="s">
        <v>58</v>
      </c>
      <c r="H2" s="30" t="s">
        <v>59</v>
      </c>
      <c r="I2" s="30" t="s">
        <v>60</v>
      </c>
      <c r="J2" s="30" t="s">
        <v>61</v>
      </c>
    </row>
    <row r="3" spans="1:10" ht="14.5" customHeight="1" x14ac:dyDescent="0.35">
      <c r="A3" s="20"/>
      <c r="B3" s="21" t="s">
        <v>45</v>
      </c>
      <c r="D3" s="31" t="s">
        <v>62</v>
      </c>
      <c r="E3" s="31" t="s">
        <v>63</v>
      </c>
      <c r="F3" s="31" t="s">
        <v>63</v>
      </c>
      <c r="G3" s="31" t="s">
        <v>63</v>
      </c>
      <c r="H3" s="31" t="s">
        <v>63</v>
      </c>
      <c r="I3" s="31" t="s">
        <v>63</v>
      </c>
      <c r="J3" s="31" t="s">
        <v>63</v>
      </c>
    </row>
    <row r="4" spans="1:10" x14ac:dyDescent="0.35">
      <c r="A4" s="22"/>
      <c r="B4" s="23" t="s">
        <v>46</v>
      </c>
      <c r="D4" s="26" t="s">
        <v>64</v>
      </c>
      <c r="E4" s="26" t="s">
        <v>65</v>
      </c>
      <c r="F4" s="26" t="s">
        <v>65</v>
      </c>
      <c r="G4" s="26" t="s">
        <v>65</v>
      </c>
      <c r="H4" s="26" t="s">
        <v>65</v>
      </c>
      <c r="I4" s="26" t="s">
        <v>65</v>
      </c>
      <c r="J4" s="26" t="s">
        <v>65</v>
      </c>
    </row>
    <row r="5" spans="1:10" x14ac:dyDescent="0.35">
      <c r="D5" s="26" t="s">
        <v>66</v>
      </c>
      <c r="E5" s="26" t="s">
        <v>65</v>
      </c>
      <c r="F5" s="26" t="s">
        <v>65</v>
      </c>
      <c r="G5" s="26" t="s">
        <v>65</v>
      </c>
      <c r="H5" s="26" t="s">
        <v>65</v>
      </c>
      <c r="I5" s="26" t="s">
        <v>65</v>
      </c>
      <c r="J5" s="26" t="s">
        <v>65</v>
      </c>
    </row>
    <row r="6" spans="1:10" x14ac:dyDescent="0.35">
      <c r="A6" s="24" t="s">
        <v>47</v>
      </c>
      <c r="B6" s="19" t="s">
        <v>48</v>
      </c>
      <c r="D6" s="28" t="s">
        <v>67</v>
      </c>
      <c r="E6" s="28" t="s">
        <v>63</v>
      </c>
      <c r="F6" s="28" t="s">
        <v>63</v>
      </c>
      <c r="G6" s="28" t="s">
        <v>63</v>
      </c>
      <c r="H6" s="28" t="s">
        <v>63</v>
      </c>
      <c r="I6" s="28" t="s">
        <v>63</v>
      </c>
      <c r="J6" s="28" t="s">
        <v>63</v>
      </c>
    </row>
    <row r="7" spans="1:10" x14ac:dyDescent="0.35">
      <c r="A7" s="20"/>
      <c r="B7" s="21" t="s">
        <v>49</v>
      </c>
    </row>
    <row r="8" spans="1:10" x14ac:dyDescent="0.35">
      <c r="A8" s="20"/>
      <c r="B8" s="21" t="s">
        <v>50</v>
      </c>
      <c r="D8" s="7"/>
    </row>
    <row r="9" spans="1:10" x14ac:dyDescent="0.35">
      <c r="A9" s="22"/>
      <c r="B9" s="23" t="s">
        <v>51</v>
      </c>
      <c r="D9" s="30" t="s">
        <v>70</v>
      </c>
      <c r="E9" s="30" t="s">
        <v>71</v>
      </c>
      <c r="F9" s="30" t="s">
        <v>73</v>
      </c>
      <c r="G9" s="30" t="s">
        <v>74</v>
      </c>
      <c r="H9" s="30" t="s">
        <v>76</v>
      </c>
    </row>
    <row r="10" spans="1:10" x14ac:dyDescent="0.35">
      <c r="D10" s="31" t="s">
        <v>56</v>
      </c>
      <c r="E10" s="31" t="s">
        <v>72</v>
      </c>
      <c r="F10" s="32">
        <v>90</v>
      </c>
      <c r="G10" s="31" t="s">
        <v>75</v>
      </c>
      <c r="H10" s="31" t="s">
        <v>75</v>
      </c>
    </row>
    <row r="11" spans="1:10" x14ac:dyDescent="0.35">
      <c r="A11" s="24" t="s">
        <v>52</v>
      </c>
      <c r="B11" s="24" t="s">
        <v>53</v>
      </c>
      <c r="D11" s="26" t="s">
        <v>57</v>
      </c>
      <c r="E11" s="26" t="s">
        <v>72</v>
      </c>
      <c r="F11" s="27">
        <v>90</v>
      </c>
      <c r="G11" s="26" t="s">
        <v>75</v>
      </c>
      <c r="H11" s="27">
        <v>171</v>
      </c>
    </row>
    <row r="12" spans="1:10" x14ac:dyDescent="0.35">
      <c r="A12" s="24" t="s">
        <v>54</v>
      </c>
      <c r="B12" s="25">
        <v>0.05</v>
      </c>
      <c r="D12" s="26" t="s">
        <v>58</v>
      </c>
      <c r="E12" s="26" t="s">
        <v>72</v>
      </c>
      <c r="F12" s="27">
        <v>90</v>
      </c>
      <c r="G12" s="26" t="s">
        <v>75</v>
      </c>
      <c r="H12" s="26" t="s">
        <v>77</v>
      </c>
    </row>
    <row r="13" spans="1:10" x14ac:dyDescent="0.35">
      <c r="D13" s="26" t="s">
        <v>59</v>
      </c>
      <c r="E13" s="26" t="s">
        <v>72</v>
      </c>
      <c r="F13" s="27">
        <v>90</v>
      </c>
      <c r="G13" s="26" t="s">
        <v>75</v>
      </c>
      <c r="H13" s="27">
        <v>342</v>
      </c>
    </row>
    <row r="14" spans="1:10" x14ac:dyDescent="0.35">
      <c r="D14" s="26" t="s">
        <v>60</v>
      </c>
      <c r="E14" s="26" t="s">
        <v>72</v>
      </c>
      <c r="F14" s="27">
        <v>90</v>
      </c>
      <c r="G14" s="26" t="s">
        <v>75</v>
      </c>
      <c r="H14" s="26" t="s">
        <v>78</v>
      </c>
    </row>
    <row r="15" spans="1:10" x14ac:dyDescent="0.35">
      <c r="D15" s="28" t="s">
        <v>61</v>
      </c>
      <c r="E15" s="28" t="s">
        <v>72</v>
      </c>
      <c r="F15" s="29">
        <v>90</v>
      </c>
      <c r="G15" s="28" t="s">
        <v>75</v>
      </c>
      <c r="H15" s="29">
        <v>513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Cocomo</vt:lpstr>
      <vt:lpstr>3 points</vt:lpstr>
      <vt:lpstr>Heures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viswadevi narayanassamychettiar</dc:creator>
  <cp:lastModifiedBy>viswadevi narayanassamychettiar</cp:lastModifiedBy>
  <dcterms:created xsi:type="dcterms:W3CDTF">2026-03-11T11:11:20Z</dcterms:created>
  <dcterms:modified xsi:type="dcterms:W3CDTF">2026-03-11T16:31:00Z</dcterms:modified>
</cp:coreProperties>
</file>